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a6ca6168532d54/Document/Assignment/"/>
    </mc:Choice>
  </mc:AlternateContent>
  <xr:revisionPtr revIDLastSave="0" documentId="8_{33EB05A8-F8F6-41EA-AC40-BADE5B4C3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K3" i="1" l="1"/>
  <c r="U4" i="1" a="1"/>
  <c r="U4" i="1" s="1"/>
  <c r="P46" i="1" a="1"/>
  <c r="P46" i="1" s="1"/>
  <c r="P7" i="1" a="1"/>
  <c r="P7" i="1" s="1"/>
  <c r="K52" i="1"/>
  <c r="K9" i="1"/>
  <c r="K5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4" i="1"/>
  <c r="K4" i="1"/>
  <c r="K5" i="1"/>
  <c r="K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<sst xmlns="http://schemas.openxmlformats.org/spreadsheetml/2006/main" count="191" uniqueCount="132">
  <si>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</si>
  <si>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</si>
  <si>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</si>
  <si>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</si>
  <si>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</si>
  <si>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</si>
  <si>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</si>
  <si>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</si>
  <si>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</si>
  <si>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</si>
  <si>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</si>
  <si>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</si>
  <si>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</si>
  <si>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</si>
  <si>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</si>
  <si>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</si>
  <si>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</si>
  <si>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</si>
  <si>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</si>
  <si>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</si>
  <si>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</si>
  <si>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</si>
  <si>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</si>
  <si>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</si>
  <si>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</si>
  <si>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</si>
  <si>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</si>
  <si>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</si>
  <si>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</si>
  <si>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</si>
  <si>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</si>
  <si>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</si>
  <si>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</si>
  <si>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</si>
  <si>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</si>
  <si>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</si>
  <si>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</si>
  <si>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</si>
  <si>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</si>
  <si>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</si>
  <si>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</si>
  <si>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</si>
  <si>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</si>
  <si>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</si>
  <si>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</si>
  <si>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</si>
  <si>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</si>
  <si>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</si>
  <si>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</si>
  <si>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</si>
  <si>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</si>
  <si>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</si>
  <si>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</si>
  <si>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</si>
  <si>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</si>
  <si>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</si>
  <si>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</si>
  <si>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</si>
  <si>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</si>
  <si>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</si>
  <si>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</si>
  <si>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</si>
  <si>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</si>
  <si>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</si>
  <si>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</si>
  <si>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</si>
  <si>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</si>
  <si>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</si>
  <si>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</si>
  <si>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</si>
  <si>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</si>
  <si>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</si>
  <si>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</si>
  <si>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</si>
  <si>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</si>
  <si>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</si>
  <si>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</si>
  <si>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</si>
  <si>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</si>
  <si>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</si>
  <si>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</si>
  <si>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</si>
  <si>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</si>
  <si>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</si>
  <si>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</si>
  <si>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</si>
  <si>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</si>
  <si>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</si>
  <si>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</si>
  <si>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</si>
  <si>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</si>
  <si>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</si>
  <si>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</si>
  <si>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</si>
  <si>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Formulas</t>
  </si>
  <si>
    <t>Determine how many products exist in the dataset.</t>
  </si>
  <si>
    <t>Calculate the total price of all products in the dataset.</t>
  </si>
  <si>
    <t>Calculate the average price of the products.</t>
  </si>
  <si>
    <t>Identify the minimum price among all products.</t>
  </si>
  <si>
    <t>Identify the maximum price among all products.</t>
  </si>
  <si>
    <t>Create a new column named Price Range.</t>
  </si>
  <si>
    <t>SUM(D2:D35)</t>
  </si>
  <si>
    <t>AVERAGE(D2:D35)</t>
  </si>
  <si>
    <t>COUNTA(D2:D35)</t>
  </si>
  <si>
    <t>MIN(D2:D35)</t>
  </si>
  <si>
    <t>MAX(D2:D35)</t>
  </si>
  <si>
    <t>Price Range</t>
  </si>
  <si>
    <t>IF(D2&gt;=500,"HIGH PRICE","STANDARD PRICE")</t>
  </si>
  <si>
    <t>Conditional Functions – SUMIF and COUNTIF</t>
  </si>
  <si>
    <t>Use the SUMIF function to calculate the total price of products in the
Electronics category.</t>
  </si>
  <si>
    <t>SUMIF(F2:F35,"ELECTRONICS",D2:D35)</t>
  </si>
  <si>
    <t>Use the COUNTIF function to determine the number of products with a price
less than $100.</t>
  </si>
  <si>
    <t>COUNTIF(D2:D35,"&lt;100")</t>
  </si>
  <si>
    <t>Text Formatting – LEFT, RIGHT, MID</t>
  </si>
  <si>
    <t>Use text functions to extract information from the Product ID column.</t>
  </si>
  <si>
    <t>Create a new column named Day with the first 2 characters of each
'Product ID' using the LEFT function.</t>
  </si>
  <si>
    <t>Day</t>
  </si>
  <si>
    <t>LEFT(A2:A35,2)</t>
  </si>
  <si>
    <t xml:space="preserve"> LEFT</t>
  </si>
  <si>
    <t>RIGHT</t>
  </si>
  <si>
    <t>Country Code</t>
  </si>
  <si>
    <t>Create a new column named Country Code by extracting the last 2
characters from the 'Product ID' column using the RIGHT function.</t>
  </si>
  <si>
    <t>RIGHT(A2:A35,2)</t>
  </si>
  <si>
    <t xml:space="preserve"> MID</t>
  </si>
  <si>
    <t>Month</t>
  </si>
  <si>
    <t>Create a new column named Month by extracting the 4th to 6th
characters from the 'Product ID' column using the MID function.</t>
  </si>
  <si>
    <t>MID(A2:A35,4,3)</t>
  </si>
  <si>
    <t>Sum, Count, and Average</t>
  </si>
  <si>
    <t>Minimum and Maximum Values</t>
  </si>
  <si>
    <t>Logical Function – IF</t>
  </si>
  <si>
    <t>Formula Used</t>
  </si>
  <si>
    <r>
      <rPr>
        <b/>
        <sz val="11"/>
        <color rgb="FF000000"/>
        <rFont val="Arial"/>
        <family val="2"/>
        <scheme val="minor"/>
      </rPr>
      <t>Use the IF function to categorize products based on their price:</t>
    </r>
    <r>
      <rPr>
        <sz val="11"/>
        <color rgb="FF000000"/>
        <rFont val="Arial"/>
        <family val="2"/>
        <scheme val="minor"/>
      </rPr>
      <t xml:space="preserve">
○ If Price ≥ $500 → classify as High Price
○ If Price &lt; $500 → classify as Standard Price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</si>
</sst>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B2CF99"/>
        <bgColor rgb="FF4DD0E1"/>
      </patternFill>
    </fill>
    <fill>
      <patternFill patternType="solid">
        <fgColor theme="7" tint="0.59999389629810485"/>
        <bgColor rgb="FF4DD0E1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6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top"/>
    </xf>
    <xf numFmtId="0" fontId="8" fillId="6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CD8F"/>
      <color rgb="FF72705A"/>
      <color rgb="FFCC0066"/>
      <color rgb="FFD485E1"/>
      <color rgb="FF66FFFF"/>
      <color rgb="FFFF9900"/>
      <color rgb="FFEDC9E7"/>
      <color rgb="FFB2CF99"/>
      <color rgb="FFE77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77" zoomScaleNormal="92" workbookViewId="0">
      <selection activeCell="K5" sqref="K5"/>
    </sheetView>
  </sheetViews>
  <sheetFormatPr defaultColWidth="12.6640625" defaultRowHeight="15" customHeight="1" x14ac:dyDescent="0.25"/>
  <cols>
    <col min="2" max="2" width="14.109375" customWidth="1"/>
    <col min="7" max="7" width="15.109375" customWidth="1"/>
    <col min="9" max="9" width="12.6640625" customWidth="1"/>
    <col min="10" max="10" width="67.44140625" customWidth="1"/>
    <col min="11" max="11" width="45.5546875" customWidth="1"/>
    <col min="12" max="12" width="48.6640625" customWidth="1"/>
    <col min="15" max="15" width="61.21875" customWidth="1"/>
    <col min="16" max="16" width="37.5546875" customWidth="1"/>
    <col min="17" max="17" width="47.21875" customWidth="1"/>
    <col min="20" max="20" width="59.109375" customWidth="1"/>
    <col min="21" max="21" width="38.5546875" customWidth="1"/>
    <col min="22" max="22" width="39.5546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106</v>
      </c>
      <c r="J1" s="17" t="s">
        <v>127</v>
      </c>
      <c r="K1" s="18"/>
      <c r="L1" s="19"/>
      <c r="O1" s="17" t="s">
        <v>113</v>
      </c>
      <c r="P1" s="18"/>
      <c r="Q1" s="19"/>
      <c r="T1" s="17" t="s">
        <v>123</v>
      </c>
      <c r="U1" s="18"/>
      <c r="V1" s="19"/>
    </row>
    <row r="2" spans="1:26" ht="15.75" customHeight="1" x14ac:dyDescent="0.25">
      <c r="A2" s="2" t="s">
        <v>6</v>
      </c>
      <c r="B2" s="2" t="s">
        <v>7</v>
      </c>
      <c r="C2" s="5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J2" s="8" t="s">
        <v>93</v>
      </c>
      <c r="K2" s="8" t="s">
        <v>94</v>
      </c>
      <c r="L2" s="8" t="s">
        <v>130</v>
      </c>
      <c r="O2" s="17" t="s">
        <v>118</v>
      </c>
      <c r="P2" s="18"/>
      <c r="Q2" s="19"/>
      <c r="T2" s="8" t="s">
        <v>93</v>
      </c>
      <c r="U2" s="8" t="s">
        <v>94</v>
      </c>
      <c r="V2" s="8" t="s">
        <v>130</v>
      </c>
      <c r="Z2" s="4"/>
    </row>
    <row r="3" spans="1:26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14" si="0">IF(D3&gt;=500,"High Price","Standard Price")</f>
        <v>Standard Price</v>
      </c>
      <c r="J3" s="15" t="s">
        <v>96</v>
      </c>
      <c r="K3" s="13">
        <f>SUM(D2:D35)</f>
        <v>10100</v>
      </c>
      <c r="L3" s="16" t="s">
        <v>101</v>
      </c>
      <c r="O3" s="8" t="s">
        <v>93</v>
      </c>
      <c r="P3" s="8" t="s">
        <v>94</v>
      </c>
      <c r="Q3" s="8" t="s">
        <v>130</v>
      </c>
      <c r="T3" s="11"/>
      <c r="U3" s="12" t="s">
        <v>124</v>
      </c>
      <c r="V3" s="11"/>
    </row>
    <row r="4" spans="1:26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J4" s="15" t="s">
        <v>95</v>
      </c>
      <c r="K4" s="13">
        <f>COUNTA(A13:A35)</f>
        <v>23</v>
      </c>
      <c r="L4" s="16" t="s">
        <v>103</v>
      </c>
      <c r="O4" s="26" t="s">
        <v>114</v>
      </c>
      <c r="P4" s="27"/>
      <c r="Q4" s="28"/>
      <c r="T4" s="20" t="s">
        <v>125</v>
      </c>
      <c r="U4" s="13" t="str" cm="1">
        <f t="array" ref="U4:U37">MID(A2:A35,4,3)</f>
        <v>JAN</v>
      </c>
      <c r="V4" s="9"/>
    </row>
    <row r="5" spans="1:26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J5" s="15" t="s">
        <v>97</v>
      </c>
      <c r="K5" s="13">
        <f>AVERAGE(D2:D35)</f>
        <v>297.05882352941177</v>
      </c>
      <c r="L5" s="16" t="s">
        <v>102</v>
      </c>
      <c r="O5" s="29"/>
      <c r="P5" s="30"/>
      <c r="Q5" s="31"/>
      <c r="T5" s="21"/>
      <c r="U5" s="13" t="str">
        <v>FEB</v>
      </c>
      <c r="V5" s="9"/>
    </row>
    <row r="6" spans="1:26" ht="15.75" customHeight="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J6" s="15"/>
      <c r="K6" s="14"/>
      <c r="L6" s="16"/>
      <c r="O6" s="11"/>
      <c r="P6" s="12" t="s">
        <v>116</v>
      </c>
      <c r="Q6" s="11"/>
      <c r="T6" s="21"/>
      <c r="U6" s="13" t="str">
        <v>MAR</v>
      </c>
      <c r="V6" s="9"/>
    </row>
    <row r="7" spans="1:26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J7" s="23" t="s">
        <v>128</v>
      </c>
      <c r="K7" s="23"/>
      <c r="L7" s="23"/>
      <c r="O7" s="20" t="s">
        <v>115</v>
      </c>
      <c r="P7" s="13" t="str" cm="1">
        <f t="array" ref="P7:P40">LEFT(A2:A35,2)</f>
        <v>28</v>
      </c>
      <c r="Q7" s="14"/>
      <c r="T7" s="21"/>
      <c r="U7" s="13" t="str">
        <v>APR</v>
      </c>
      <c r="V7" s="9"/>
    </row>
    <row r="8" spans="1:26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J8" s="14" t="s">
        <v>98</v>
      </c>
      <c r="K8" s="13">
        <f>MIN(D2:D35)</f>
        <v>30</v>
      </c>
      <c r="L8" s="16" t="s">
        <v>104</v>
      </c>
      <c r="O8" s="21"/>
      <c r="P8" s="13" t="str">
        <v>15</v>
      </c>
      <c r="Q8" s="14"/>
      <c r="T8" s="21"/>
      <c r="U8" s="13" t="str">
        <v>MAY</v>
      </c>
      <c r="V8" s="9"/>
    </row>
    <row r="9" spans="1:26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J9" s="14" t="s">
        <v>99</v>
      </c>
      <c r="K9" s="13">
        <f>MAX(D2:D35)</f>
        <v>1000</v>
      </c>
      <c r="L9" s="16" t="s">
        <v>105</v>
      </c>
      <c r="O9" s="21"/>
      <c r="P9" s="13" t="str">
        <v>03</v>
      </c>
      <c r="Q9" s="14"/>
      <c r="T9" s="21"/>
      <c r="U9" s="13" t="str">
        <v>JUN</v>
      </c>
      <c r="V9" s="9"/>
    </row>
    <row r="10" spans="1:26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J10" s="11"/>
      <c r="K10" s="11"/>
      <c r="L10" s="16"/>
      <c r="O10" s="21"/>
      <c r="P10" s="13" t="str">
        <v>11</v>
      </c>
      <c r="Q10" s="14"/>
      <c r="T10" s="21"/>
      <c r="U10" s="13" t="str">
        <v>JUL</v>
      </c>
      <c r="V10" s="9"/>
    </row>
    <row r="11" spans="1:26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J11" s="23" t="s">
        <v>129</v>
      </c>
      <c r="K11" s="23"/>
      <c r="L11" s="23"/>
      <c r="O11" s="21"/>
      <c r="P11" s="13" t="str">
        <v>22</v>
      </c>
      <c r="Q11" s="14"/>
      <c r="T11" s="21"/>
      <c r="U11" s="13" t="str">
        <v>AUG</v>
      </c>
      <c r="V11" s="9"/>
    </row>
    <row r="12" spans="1:26" ht="15.75" customHeight="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J12" s="34" t="s">
        <v>100</v>
      </c>
      <c r="K12" s="34"/>
      <c r="L12" s="34"/>
      <c r="O12" s="21"/>
      <c r="P12" s="13" t="str">
        <v>07</v>
      </c>
      <c r="Q12" s="14"/>
      <c r="T12" s="21"/>
      <c r="U12" s="13" t="str">
        <v>SEP</v>
      </c>
      <c r="V12" s="9"/>
    </row>
    <row r="13" spans="1:26" ht="15.6" customHeight="1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J13" s="10"/>
      <c r="K13" s="12" t="s">
        <v>106</v>
      </c>
      <c r="L13" s="11"/>
      <c r="O13" s="21"/>
      <c r="P13" s="13" t="str">
        <v>19</v>
      </c>
      <c r="Q13" s="14"/>
      <c r="T13" s="21"/>
      <c r="U13" s="13" t="str">
        <v>OCT</v>
      </c>
      <c r="V13" s="9"/>
    </row>
    <row r="14" spans="1:26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J14" s="32" t="s">
        <v>131</v>
      </c>
      <c r="K14" s="13" t="str">
        <f>IF(D2&gt;=500,"High Price","Standard Price")</f>
        <v>High Price</v>
      </c>
      <c r="L14" s="14"/>
      <c r="O14" s="21"/>
      <c r="P14" s="13" t="str">
        <v>23</v>
      </c>
      <c r="Q14" s="14"/>
      <c r="T14" s="21"/>
      <c r="U14" s="13" t="str">
        <v>JUN</v>
      </c>
      <c r="V14" s="9"/>
    </row>
    <row r="15" spans="1:26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ref="G15:G35" si="1">IF(D15&gt;=500,"High Price","Standard Price")</f>
        <v>Standard Price</v>
      </c>
      <c r="J15" s="32"/>
      <c r="K15" s="13" t="str">
        <f t="shared" ref="K15:K47" si="2">IF(D3&gt;=500,"High Price","Standard Price")</f>
        <v>Standard Price</v>
      </c>
      <c r="L15" s="14"/>
      <c r="O15" s="21"/>
      <c r="P15" s="13" t="str">
        <v>05</v>
      </c>
      <c r="Q15" s="14"/>
      <c r="T15" s="21"/>
      <c r="U15" s="13" t="str">
        <v>NOV</v>
      </c>
      <c r="V15" s="9"/>
    </row>
    <row r="16" spans="1:26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1"/>
        <v>Standard Price</v>
      </c>
      <c r="J16" s="32"/>
      <c r="K16" s="13" t="str">
        <f t="shared" si="2"/>
        <v>Standard Price</v>
      </c>
      <c r="L16" s="14"/>
      <c r="O16" s="21"/>
      <c r="P16" s="13" t="str">
        <v>14</v>
      </c>
      <c r="Q16" s="14"/>
      <c r="T16" s="21"/>
      <c r="U16" s="13" t="str">
        <v>DEC</v>
      </c>
      <c r="V16" s="9"/>
    </row>
    <row r="17" spans="1:22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1"/>
        <v>Standard Price</v>
      </c>
      <c r="J17" s="32"/>
      <c r="K17" s="13" t="str">
        <f t="shared" si="2"/>
        <v>High Price</v>
      </c>
      <c r="L17" s="14"/>
      <c r="O17" s="21"/>
      <c r="P17" s="13" t="str">
        <v>17</v>
      </c>
      <c r="Q17" s="14"/>
      <c r="T17" s="21"/>
      <c r="U17" s="13" t="str">
        <v>FEB</v>
      </c>
      <c r="V17" s="9"/>
    </row>
    <row r="18" spans="1:22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1"/>
        <v>Standard Price</v>
      </c>
      <c r="J18" s="32"/>
      <c r="K18" s="13" t="str">
        <f t="shared" si="2"/>
        <v>Standard Price</v>
      </c>
      <c r="L18" s="14"/>
      <c r="O18" s="21"/>
      <c r="P18" s="13" t="str">
        <v>25</v>
      </c>
      <c r="Q18" s="14"/>
      <c r="T18" s="21"/>
      <c r="U18" s="13" t="str">
        <v>APR</v>
      </c>
      <c r="V18" s="9"/>
    </row>
    <row r="19" spans="1:22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1"/>
        <v>High Price</v>
      </c>
      <c r="J19" s="32"/>
      <c r="K19" s="13" t="str">
        <f t="shared" si="2"/>
        <v>Standard Price</v>
      </c>
      <c r="L19" s="14"/>
      <c r="O19" s="21"/>
      <c r="P19" s="13" t="str">
        <v>08</v>
      </c>
      <c r="Q19" s="14"/>
      <c r="T19" s="21"/>
      <c r="U19" s="13" t="str">
        <v>AUG</v>
      </c>
      <c r="V19" s="9"/>
    </row>
    <row r="20" spans="1:22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1"/>
        <v>Standard Price</v>
      </c>
      <c r="J20" s="32"/>
      <c r="K20" s="13" t="str">
        <f t="shared" si="2"/>
        <v>Standard Price</v>
      </c>
      <c r="L20" s="14"/>
      <c r="O20" s="21"/>
      <c r="P20" s="13" t="str">
        <v>18</v>
      </c>
      <c r="Q20" s="14"/>
      <c r="T20" s="21"/>
      <c r="U20" s="13" t="str">
        <v>AUG</v>
      </c>
      <c r="V20" s="16" t="s">
        <v>126</v>
      </c>
    </row>
    <row r="21" spans="1:22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1"/>
        <v>Standard Price</v>
      </c>
      <c r="J21" s="32"/>
      <c r="K21" s="13" t="str">
        <f t="shared" si="2"/>
        <v>Standard Price</v>
      </c>
      <c r="L21" s="14"/>
      <c r="O21" s="21"/>
      <c r="P21" s="13" t="str">
        <v>16</v>
      </c>
      <c r="Q21" s="14"/>
      <c r="T21" s="21"/>
      <c r="U21" s="13" t="str">
        <v>JAN</v>
      </c>
      <c r="V21" s="9"/>
    </row>
    <row r="22" spans="1:22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1"/>
        <v>High Price</v>
      </c>
      <c r="J22" s="32"/>
      <c r="K22" s="13" t="str">
        <f t="shared" si="2"/>
        <v>High Price</v>
      </c>
      <c r="L22" s="14"/>
      <c r="O22" s="21"/>
      <c r="P22" s="13" t="str">
        <v>21</v>
      </c>
      <c r="Q22" s="14"/>
      <c r="T22" s="21"/>
      <c r="U22" s="13" t="str">
        <v>MAR</v>
      </c>
      <c r="V22" s="9"/>
    </row>
    <row r="23" spans="1:22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1"/>
        <v>Standard Price</v>
      </c>
      <c r="J23" s="32"/>
      <c r="K23" s="13" t="str">
        <f t="shared" si="2"/>
        <v>Standard Price</v>
      </c>
      <c r="L23" s="14"/>
      <c r="O23" s="21"/>
      <c r="P23" s="13" t="str">
        <v>20</v>
      </c>
      <c r="Q23" s="16" t="s">
        <v>117</v>
      </c>
      <c r="T23" s="21"/>
      <c r="U23" s="13" t="str">
        <v>AUG</v>
      </c>
      <c r="V23" s="9"/>
    </row>
    <row r="24" spans="1:22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1"/>
        <v>Standard Price</v>
      </c>
      <c r="J24" s="32"/>
      <c r="K24" s="13" t="str">
        <f t="shared" si="2"/>
        <v>High Price</v>
      </c>
      <c r="L24" s="14"/>
      <c r="O24" s="21"/>
      <c r="P24" s="13" t="str">
        <v>27</v>
      </c>
      <c r="Q24" s="14"/>
      <c r="T24" s="21"/>
      <c r="U24" s="13" t="str">
        <v>MAY</v>
      </c>
      <c r="V24" s="9"/>
    </row>
    <row r="25" spans="1:22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1"/>
        <v>Standard Price</v>
      </c>
      <c r="J25" s="32"/>
      <c r="K25" s="13" t="str">
        <f t="shared" si="2"/>
        <v>Standard Price</v>
      </c>
      <c r="L25" s="14"/>
      <c r="O25" s="21"/>
      <c r="P25" s="13" t="str">
        <v>01</v>
      </c>
      <c r="Q25" s="14"/>
      <c r="T25" s="21"/>
      <c r="U25" s="13" t="str">
        <v>JAN</v>
      </c>
      <c r="V25" s="9"/>
    </row>
    <row r="26" spans="1:22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1"/>
        <v>High Price</v>
      </c>
      <c r="J26" s="32"/>
      <c r="K26" s="13" t="str">
        <f t="shared" si="2"/>
        <v>Standard Price</v>
      </c>
      <c r="L26" s="14"/>
      <c r="O26" s="21"/>
      <c r="P26" s="13" t="str">
        <v>14</v>
      </c>
      <c r="Q26" s="14"/>
      <c r="T26" s="21"/>
      <c r="U26" s="13" t="str">
        <v>JUL</v>
      </c>
      <c r="V26" s="9"/>
    </row>
    <row r="27" spans="1:22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1"/>
        <v>Standard Price</v>
      </c>
      <c r="J27" s="32"/>
      <c r="K27" s="13" t="str">
        <f t="shared" si="2"/>
        <v>Standard Price</v>
      </c>
      <c r="L27" s="14"/>
      <c r="O27" s="21"/>
      <c r="P27" s="13" t="str">
        <v>14</v>
      </c>
      <c r="Q27" s="14"/>
      <c r="T27" s="21"/>
      <c r="U27" s="13" t="str">
        <v>AUG</v>
      </c>
      <c r="V27" s="9"/>
    </row>
    <row r="28" spans="1:22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1"/>
        <v>Standard Price</v>
      </c>
      <c r="J28" s="32"/>
      <c r="K28" s="13" t="str">
        <f t="shared" si="2"/>
        <v>Standard Price</v>
      </c>
      <c r="L28" s="16" t="s">
        <v>107</v>
      </c>
      <c r="O28" s="21"/>
      <c r="P28" s="13" t="str">
        <v>09</v>
      </c>
      <c r="Q28" s="14"/>
      <c r="T28" s="21"/>
      <c r="U28" s="13" t="str">
        <v>SEP</v>
      </c>
      <c r="V28" s="9"/>
    </row>
    <row r="29" spans="1:22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1"/>
        <v>Standard Price</v>
      </c>
      <c r="J29" s="32"/>
      <c r="K29" s="13" t="str">
        <f t="shared" si="2"/>
        <v>Standard Price</v>
      </c>
      <c r="L29" s="14"/>
      <c r="O29" s="21"/>
      <c r="P29" s="13" t="str">
        <v>19</v>
      </c>
      <c r="Q29" s="14"/>
      <c r="T29" s="21"/>
      <c r="U29" s="13" t="str">
        <v>JUN</v>
      </c>
      <c r="V29" s="9"/>
    </row>
    <row r="30" spans="1:22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1"/>
        <v>Standard Price</v>
      </c>
      <c r="J30" s="32"/>
      <c r="K30" s="13" t="str">
        <f t="shared" si="2"/>
        <v>Standard Price</v>
      </c>
      <c r="L30" s="14"/>
      <c r="O30" s="21"/>
      <c r="P30" s="13" t="str">
        <v>21</v>
      </c>
      <c r="Q30" s="14"/>
      <c r="T30" s="21"/>
      <c r="U30" s="13" t="str">
        <v>JUL</v>
      </c>
      <c r="V30" s="9"/>
    </row>
    <row r="31" spans="1:22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1"/>
        <v>Standard Price</v>
      </c>
      <c r="J31" s="32"/>
      <c r="K31" s="13" t="str">
        <f t="shared" si="2"/>
        <v>High Price</v>
      </c>
      <c r="L31" s="14"/>
      <c r="O31" s="21"/>
      <c r="P31" s="13" t="str">
        <v>29</v>
      </c>
      <c r="Q31" s="14"/>
      <c r="T31" s="21"/>
      <c r="U31" s="13" t="str">
        <v>APR</v>
      </c>
      <c r="V31" s="9"/>
    </row>
    <row r="32" spans="1:22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1"/>
        <v>Standard Price</v>
      </c>
      <c r="J32" s="32"/>
      <c r="K32" s="13" t="str">
        <f t="shared" si="2"/>
        <v>Standard Price</v>
      </c>
      <c r="L32" s="14"/>
      <c r="O32" s="21"/>
      <c r="P32" s="13" t="str">
        <v>03</v>
      </c>
      <c r="Q32" s="14"/>
      <c r="T32" s="21"/>
      <c r="U32" s="13" t="str">
        <v>MAR</v>
      </c>
      <c r="V32" s="9"/>
    </row>
    <row r="33" spans="1:22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1"/>
        <v>Standard Price</v>
      </c>
      <c r="J33" s="32"/>
      <c r="K33" s="13" t="str">
        <f t="shared" si="2"/>
        <v>Standard Price</v>
      </c>
      <c r="L33" s="14"/>
      <c r="O33" s="21"/>
      <c r="P33" s="13" t="str">
        <v>11</v>
      </c>
      <c r="Q33" s="14"/>
      <c r="T33" s="21"/>
      <c r="U33" s="13" t="str">
        <v>APR</v>
      </c>
      <c r="V33" s="9"/>
    </row>
    <row r="34" spans="1:22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1"/>
        <v>High Price</v>
      </c>
      <c r="J34" s="32"/>
      <c r="K34" s="13" t="str">
        <f t="shared" si="2"/>
        <v>High Price</v>
      </c>
      <c r="L34" s="14"/>
      <c r="O34" s="21"/>
      <c r="P34" s="13" t="str">
        <v>16</v>
      </c>
      <c r="Q34" s="14"/>
      <c r="T34" s="21"/>
      <c r="U34" s="13" t="str">
        <v>MAY</v>
      </c>
      <c r="V34" s="9"/>
    </row>
    <row r="35" spans="1:22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1"/>
        <v>Standard Price</v>
      </c>
      <c r="J35" s="32"/>
      <c r="K35" s="13" t="str">
        <f t="shared" si="2"/>
        <v>Standard Price</v>
      </c>
      <c r="L35" s="14"/>
      <c r="O35" s="21"/>
      <c r="P35" s="13" t="str">
        <v>07</v>
      </c>
      <c r="Q35" s="14"/>
      <c r="T35" s="21"/>
      <c r="U35" s="13" t="str">
        <v>DEC</v>
      </c>
      <c r="V35" s="9"/>
    </row>
    <row r="36" spans="1:22" ht="15.75" customHeight="1" x14ac:dyDescent="0.25">
      <c r="J36" s="32"/>
      <c r="K36" s="13" t="str">
        <f t="shared" si="2"/>
        <v>Standard Price</v>
      </c>
      <c r="L36" s="14"/>
      <c r="O36" s="21"/>
      <c r="P36" s="13" t="str">
        <v>13</v>
      </c>
      <c r="Q36" s="14"/>
      <c r="T36" s="21"/>
      <c r="U36" s="13" t="str">
        <v>JUN</v>
      </c>
      <c r="V36" s="9"/>
    </row>
    <row r="37" spans="1:22" ht="15.75" customHeight="1" x14ac:dyDescent="0.25">
      <c r="J37" s="32"/>
      <c r="K37" s="13" t="str">
        <f t="shared" si="2"/>
        <v>Standard Price</v>
      </c>
      <c r="L37" s="14"/>
      <c r="O37" s="21"/>
      <c r="P37" s="13" t="str">
        <v>24</v>
      </c>
      <c r="Q37" s="14"/>
      <c r="T37" s="22"/>
      <c r="U37" s="13" t="str">
        <v>JUL</v>
      </c>
      <c r="V37" s="9"/>
    </row>
    <row r="38" spans="1:22" ht="15.75" customHeight="1" x14ac:dyDescent="0.25">
      <c r="J38" s="32"/>
      <c r="K38" s="13" t="str">
        <f t="shared" si="2"/>
        <v>High Price</v>
      </c>
      <c r="L38" s="14"/>
      <c r="O38" s="21"/>
      <c r="P38" s="13" t="str">
        <v>02</v>
      </c>
      <c r="Q38" s="14"/>
      <c r="T38" s="7"/>
    </row>
    <row r="39" spans="1:22" ht="15.75" customHeight="1" x14ac:dyDescent="0.25">
      <c r="J39" s="32"/>
      <c r="K39" s="13" t="str">
        <f t="shared" si="2"/>
        <v>Standard Price</v>
      </c>
      <c r="L39" s="14"/>
      <c r="O39" s="21"/>
      <c r="P39" s="13" t="str">
        <v>17</v>
      </c>
      <c r="Q39" s="14"/>
    </row>
    <row r="40" spans="1:22" ht="15.75" customHeight="1" x14ac:dyDescent="0.25">
      <c r="J40" s="32"/>
      <c r="K40" s="13" t="str">
        <f t="shared" si="2"/>
        <v>Standard Price</v>
      </c>
      <c r="L40" s="14"/>
      <c r="O40" s="22"/>
      <c r="P40" s="13" t="str">
        <v>09</v>
      </c>
      <c r="Q40" s="14"/>
    </row>
    <row r="41" spans="1:22" ht="15.75" customHeight="1" x14ac:dyDescent="0.25">
      <c r="J41" s="32"/>
      <c r="K41" s="13" t="str">
        <f t="shared" si="2"/>
        <v>Standard Price</v>
      </c>
      <c r="L41" s="14"/>
      <c r="O41" s="7"/>
    </row>
    <row r="42" spans="1:22" ht="15.75" customHeight="1" x14ac:dyDescent="0.25">
      <c r="J42" s="32"/>
      <c r="K42" s="13" t="str">
        <f t="shared" si="2"/>
        <v>Standard Price</v>
      </c>
      <c r="L42" s="14"/>
    </row>
    <row r="43" spans="1:22" ht="15.75" customHeight="1" x14ac:dyDescent="0.25">
      <c r="J43" s="32"/>
      <c r="K43" s="13" t="str">
        <f t="shared" si="2"/>
        <v>Standard Price</v>
      </c>
      <c r="L43" s="14"/>
      <c r="O43" s="23" t="s">
        <v>119</v>
      </c>
      <c r="P43" s="23"/>
      <c r="Q43" s="23"/>
    </row>
    <row r="44" spans="1:22" ht="15.75" customHeight="1" x14ac:dyDescent="0.25">
      <c r="J44" s="32"/>
      <c r="K44" s="13" t="str">
        <f t="shared" si="2"/>
        <v>Standard Price</v>
      </c>
      <c r="L44" s="14"/>
      <c r="O44" s="8" t="s">
        <v>93</v>
      </c>
      <c r="P44" s="8" t="s">
        <v>94</v>
      </c>
      <c r="Q44" s="8" t="s">
        <v>130</v>
      </c>
    </row>
    <row r="45" spans="1:22" ht="15.75" customHeight="1" x14ac:dyDescent="0.3">
      <c r="J45" s="32"/>
      <c r="K45" s="13" t="str">
        <f t="shared" si="2"/>
        <v>Standard Price</v>
      </c>
      <c r="L45" s="14"/>
      <c r="O45" s="11"/>
      <c r="P45" s="12" t="s">
        <v>120</v>
      </c>
      <c r="Q45" s="11"/>
    </row>
    <row r="46" spans="1:22" ht="15.75" customHeight="1" x14ac:dyDescent="0.25">
      <c r="J46" s="32"/>
      <c r="K46" s="13" t="str">
        <f t="shared" si="2"/>
        <v>High Price</v>
      </c>
      <c r="L46" s="14"/>
      <c r="O46" s="32" t="s">
        <v>121</v>
      </c>
      <c r="P46" s="13" t="str" cm="1">
        <f t="array" ref="P46:P79">RIGHT(A2:A35,2)</f>
        <v>US</v>
      </c>
      <c r="Q46" s="13"/>
    </row>
    <row r="47" spans="1:22" ht="15.75" customHeight="1" x14ac:dyDescent="0.25">
      <c r="J47" s="32"/>
      <c r="K47" s="13" t="str">
        <f t="shared" si="2"/>
        <v>Standard Price</v>
      </c>
      <c r="L47" s="14"/>
      <c r="O47" s="33"/>
      <c r="P47" s="13" t="str">
        <v>US</v>
      </c>
      <c r="Q47" s="13"/>
    </row>
    <row r="48" spans="1:22" ht="15.75" customHeight="1" x14ac:dyDescent="0.25">
      <c r="J48" s="11"/>
      <c r="K48" s="11"/>
      <c r="L48" s="11"/>
      <c r="O48" s="33"/>
      <c r="P48" s="13" t="str">
        <v>US</v>
      </c>
      <c r="Q48" s="13"/>
    </row>
    <row r="49" spans="10:17" ht="15.75" customHeight="1" x14ac:dyDescent="0.25">
      <c r="J49" s="23" t="s">
        <v>108</v>
      </c>
      <c r="K49" s="23"/>
      <c r="L49" s="23"/>
      <c r="O49" s="33"/>
      <c r="P49" s="13" t="str">
        <v>US</v>
      </c>
      <c r="Q49" s="13"/>
    </row>
    <row r="50" spans="10:17" ht="15.75" customHeight="1" x14ac:dyDescent="0.25">
      <c r="J50" s="24" t="s">
        <v>109</v>
      </c>
      <c r="K50" s="13">
        <f>SUMIF(F2:F35,"Electronics",D2:D35)</f>
        <v>8050</v>
      </c>
      <c r="L50" s="16" t="s">
        <v>110</v>
      </c>
      <c r="O50" s="33"/>
      <c r="P50" s="13" t="str">
        <v>US</v>
      </c>
      <c r="Q50" s="13"/>
    </row>
    <row r="51" spans="10:17" ht="15.75" customHeight="1" x14ac:dyDescent="0.25">
      <c r="J51" s="25"/>
      <c r="K51" s="13"/>
      <c r="L51" s="13"/>
      <c r="O51" s="33"/>
      <c r="P51" s="13" t="str">
        <v>UK</v>
      </c>
      <c r="Q51" s="13"/>
    </row>
    <row r="52" spans="10:17" ht="15.75" customHeight="1" x14ac:dyDescent="0.25">
      <c r="J52" s="24" t="s">
        <v>111</v>
      </c>
      <c r="K52" s="13">
        <f>COUNTIF(D2:D35,"&lt;100")</f>
        <v>11</v>
      </c>
      <c r="L52" s="16" t="s">
        <v>112</v>
      </c>
      <c r="O52" s="33"/>
      <c r="P52" s="13" t="str">
        <v>UK</v>
      </c>
      <c r="Q52" s="13"/>
    </row>
    <row r="53" spans="10:17" ht="15.75" customHeight="1" x14ac:dyDescent="0.25">
      <c r="J53" s="25"/>
      <c r="K53" s="14"/>
      <c r="L53" s="14"/>
      <c r="O53" s="33"/>
      <c r="P53" s="13" t="str">
        <v>UK</v>
      </c>
      <c r="Q53" s="13"/>
    </row>
    <row r="54" spans="10:17" ht="15.75" customHeight="1" x14ac:dyDescent="0.25">
      <c r="O54" s="33"/>
      <c r="P54" s="13" t="str">
        <v>UK</v>
      </c>
      <c r="Q54" s="13"/>
    </row>
    <row r="55" spans="10:17" ht="15.75" customHeight="1" x14ac:dyDescent="0.25">
      <c r="O55" s="33"/>
      <c r="P55" s="13" t="str">
        <v>UK</v>
      </c>
      <c r="Q55" s="13"/>
    </row>
    <row r="56" spans="10:17" ht="15.75" customHeight="1" x14ac:dyDescent="0.25">
      <c r="O56" s="33"/>
      <c r="P56" s="13" t="str">
        <v>IN</v>
      </c>
      <c r="Q56" s="13"/>
    </row>
    <row r="57" spans="10:17" ht="15.75" customHeight="1" x14ac:dyDescent="0.25">
      <c r="O57" s="33"/>
      <c r="P57" s="13" t="str">
        <v>AU</v>
      </c>
      <c r="Q57" s="13"/>
    </row>
    <row r="58" spans="10:17" ht="15.75" customHeight="1" x14ac:dyDescent="0.25">
      <c r="O58" s="33"/>
      <c r="P58" s="13" t="str">
        <v>DE</v>
      </c>
      <c r="Q58" s="13"/>
    </row>
    <row r="59" spans="10:17" ht="15.75" customHeight="1" x14ac:dyDescent="0.25">
      <c r="O59" s="33"/>
      <c r="P59" s="13" t="str">
        <v>CA</v>
      </c>
      <c r="Q59" s="13"/>
    </row>
    <row r="60" spans="10:17" ht="15.75" customHeight="1" x14ac:dyDescent="0.25">
      <c r="O60" s="33"/>
      <c r="P60" s="13" t="str">
        <v>ES</v>
      </c>
      <c r="Q60" s="13"/>
    </row>
    <row r="61" spans="10:17" ht="15.75" customHeight="1" x14ac:dyDescent="0.25">
      <c r="O61" s="33"/>
      <c r="P61" s="13" t="str">
        <v>CA</v>
      </c>
      <c r="Q61" s="16" t="s">
        <v>122</v>
      </c>
    </row>
    <row r="62" spans="10:17" ht="15.75" customHeight="1" x14ac:dyDescent="0.25">
      <c r="O62" s="33"/>
      <c r="P62" s="13" t="str">
        <v>CN</v>
      </c>
      <c r="Q62" s="13"/>
    </row>
    <row r="63" spans="10:17" ht="15.75" customHeight="1" x14ac:dyDescent="0.25">
      <c r="O63" s="33"/>
      <c r="P63" s="13" t="str">
        <v>IT</v>
      </c>
      <c r="Q63" s="13"/>
    </row>
    <row r="64" spans="10:17" ht="15.75" customHeight="1" x14ac:dyDescent="0.25">
      <c r="O64" s="33"/>
      <c r="P64" s="13" t="str">
        <v>UK</v>
      </c>
      <c r="Q64" s="13"/>
    </row>
    <row r="65" spans="15:17" ht="15.75" customHeight="1" x14ac:dyDescent="0.25">
      <c r="O65" s="33"/>
      <c r="P65" s="13" t="str">
        <v>US</v>
      </c>
      <c r="Q65" s="13"/>
    </row>
    <row r="66" spans="15:17" ht="15.75" customHeight="1" x14ac:dyDescent="0.25">
      <c r="O66" s="33"/>
      <c r="P66" s="13" t="str">
        <v>RU</v>
      </c>
      <c r="Q66" s="13"/>
    </row>
    <row r="67" spans="15:17" ht="15.75" customHeight="1" x14ac:dyDescent="0.25">
      <c r="O67" s="33"/>
      <c r="P67" s="13" t="str">
        <v>CA</v>
      </c>
      <c r="Q67" s="13"/>
    </row>
    <row r="68" spans="15:17" ht="15.75" customHeight="1" x14ac:dyDescent="0.25">
      <c r="O68" s="33"/>
      <c r="P68" s="13" t="str">
        <v>BR</v>
      </c>
      <c r="Q68" s="13"/>
    </row>
    <row r="69" spans="15:17" ht="15.75" customHeight="1" x14ac:dyDescent="0.25">
      <c r="O69" s="33"/>
      <c r="P69" s="13" t="str">
        <v>CA</v>
      </c>
      <c r="Q69" s="13"/>
    </row>
    <row r="70" spans="15:17" ht="15.75" customHeight="1" x14ac:dyDescent="0.25">
      <c r="O70" s="33"/>
      <c r="P70" s="13" t="str">
        <v>CA</v>
      </c>
      <c r="Q70" s="13"/>
    </row>
    <row r="71" spans="15:17" ht="15.75" customHeight="1" x14ac:dyDescent="0.25">
      <c r="O71" s="33"/>
      <c r="P71" s="13" t="str">
        <v>CA</v>
      </c>
      <c r="Q71" s="13"/>
    </row>
    <row r="72" spans="15:17" ht="15.75" customHeight="1" x14ac:dyDescent="0.25">
      <c r="O72" s="33"/>
      <c r="P72" s="13" t="str">
        <v>CA</v>
      </c>
      <c r="Q72" s="13"/>
    </row>
    <row r="73" spans="15:17" ht="15.75" customHeight="1" x14ac:dyDescent="0.25">
      <c r="O73" s="33"/>
      <c r="P73" s="13" t="str">
        <v>ES</v>
      </c>
      <c r="Q73" s="13"/>
    </row>
    <row r="74" spans="15:17" ht="15.75" customHeight="1" x14ac:dyDescent="0.25">
      <c r="O74" s="33"/>
      <c r="P74" s="13" t="str">
        <v>CA</v>
      </c>
      <c r="Q74" s="13"/>
    </row>
    <row r="75" spans="15:17" ht="15.75" customHeight="1" x14ac:dyDescent="0.25">
      <c r="O75" s="33"/>
      <c r="P75" s="13" t="str">
        <v>CA</v>
      </c>
      <c r="Q75" s="13"/>
    </row>
    <row r="76" spans="15:17" ht="15.75" customHeight="1" x14ac:dyDescent="0.25">
      <c r="O76" s="33"/>
      <c r="P76" s="13" t="str">
        <v>CA</v>
      </c>
      <c r="Q76" s="13"/>
    </row>
    <row r="77" spans="15:17" ht="15.75" customHeight="1" x14ac:dyDescent="0.25">
      <c r="O77" s="33"/>
      <c r="P77" s="13" t="str">
        <v>CA</v>
      </c>
      <c r="Q77" s="13"/>
    </row>
    <row r="78" spans="15:17" ht="15.75" customHeight="1" x14ac:dyDescent="0.25">
      <c r="O78" s="33"/>
      <c r="P78" s="13" t="str">
        <v>IN</v>
      </c>
      <c r="Q78" s="13"/>
    </row>
    <row r="79" spans="15:17" ht="15.75" customHeight="1" x14ac:dyDescent="0.25">
      <c r="O79" s="33"/>
      <c r="P79" s="13" t="str">
        <v>FR</v>
      </c>
      <c r="Q79" s="13"/>
    </row>
    <row r="80" spans="15:17" ht="15.75" customHeight="1" x14ac:dyDescent="0.25">
      <c r="O80" s="7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T1:V1"/>
    <mergeCell ref="T4:T37"/>
    <mergeCell ref="J11:L11"/>
    <mergeCell ref="J50:J51"/>
    <mergeCell ref="J52:J53"/>
    <mergeCell ref="O1:Q1"/>
    <mergeCell ref="O4:Q5"/>
    <mergeCell ref="O7:O40"/>
    <mergeCell ref="O2:Q2"/>
    <mergeCell ref="O43:Q43"/>
    <mergeCell ref="O46:O79"/>
    <mergeCell ref="J14:J47"/>
    <mergeCell ref="J1:L1"/>
    <mergeCell ref="J7:L7"/>
    <mergeCell ref="J12:L12"/>
    <mergeCell ref="J49:L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A12A-3CB2-4A07-BFEF-752AED9BFD75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A</dc:creator>
  <cp:lastModifiedBy>hari A</cp:lastModifiedBy>
  <dcterms:created xsi:type="dcterms:W3CDTF">2026-09-19T16:52:24Z</dcterms:created>
  <dcterms:modified xsi:type="dcterms:W3CDTF">2026-09-20T09:11:30Z</dcterms:modified>
</cp:coreProperties>
</file>